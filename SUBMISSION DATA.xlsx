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M\data sets\SUBMISSION -GIT HUB\"/>
    </mc:Choice>
  </mc:AlternateContent>
  <xr:revisionPtr revIDLastSave="0" documentId="8_{96C92BD6-7B30-4C29-A665-D5E89B977BAC}" xr6:coauthVersionLast="47" xr6:coauthVersionMax="47" xr10:uidLastSave="{00000000-0000-0000-0000-000000000000}"/>
  <bookViews>
    <workbookView xWindow="-120" yWindow="-120" windowWidth="29040" windowHeight="15840" xr2:uid="{6E8BA2A9-361F-4C26-9BCB-4C9179E527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I5" i="1"/>
  <c r="E5" i="1"/>
  <c r="H4" i="1"/>
  <c r="G4" i="1"/>
  <c r="F4" i="1"/>
  <c r="E4" i="1"/>
  <c r="I4" i="1" s="1"/>
  <c r="D4" i="1"/>
  <c r="C4" i="1"/>
  <c r="B4" i="1"/>
  <c r="I3" i="1"/>
  <c r="I2" i="1"/>
</calcChain>
</file>

<file path=xl/sharedStrings.xml><?xml version="1.0" encoding="utf-8"?>
<sst xmlns="http://schemas.openxmlformats.org/spreadsheetml/2006/main" count="99" uniqueCount="60">
  <si>
    <t>INSURANCE</t>
  </si>
  <si>
    <t>CLAIM COUNT</t>
  </si>
  <si>
    <t>NET AMOUNT</t>
  </si>
  <si>
    <t>DEDUCTABLE</t>
  </si>
  <si>
    <t>SUBMITTED AMOUNT</t>
  </si>
  <si>
    <t>CONSULTATION</t>
  </si>
  <si>
    <t>PROCEDURE</t>
  </si>
  <si>
    <t>LAB</t>
  </si>
  <si>
    <t>PATIENT AVG</t>
  </si>
  <si>
    <t>INSURANCE 1</t>
  </si>
  <si>
    <t>INSURANCE 2</t>
  </si>
  <si>
    <t>COMPANY NAME</t>
  </si>
  <si>
    <t>COUNT</t>
  </si>
  <si>
    <t>TOTAL</t>
  </si>
  <si>
    <t>INSURANCE1</t>
  </si>
  <si>
    <t>INSURANCE 3</t>
  </si>
  <si>
    <t>INSURANCE2</t>
  </si>
  <si>
    <t>DOCTOR WISE INCOME ANALYSIS</t>
  </si>
  <si>
    <t>DATE</t>
  </si>
  <si>
    <t>DEPARTMENT</t>
  </si>
  <si>
    <t>DOCTOR</t>
  </si>
  <si>
    <t>TOTAL VISIT</t>
  </si>
  <si>
    <t>TOTAL AMOUNT</t>
  </si>
  <si>
    <t>01-11-2025   to 30-11-2025</t>
  </si>
  <si>
    <t>OCCUPATIONAL THERAPY</t>
  </si>
  <si>
    <t>DOC1</t>
  </si>
  <si>
    <t>PHYSIOTHERAPY TECHNICIAN</t>
  </si>
  <si>
    <t>DOC2</t>
  </si>
  <si>
    <t>IMMUNOLOGY</t>
  </si>
  <si>
    <t>DOC3</t>
  </si>
  <si>
    <t>PHYSIOTHERAPIST 1</t>
  </si>
  <si>
    <t>DOC4</t>
  </si>
  <si>
    <t>SPEECH THERAPIST/ SPEECH &amp; LANGUAGE PATHOLOGIST</t>
  </si>
  <si>
    <t>DOC5</t>
  </si>
  <si>
    <t>MEDICAL DEPARTMENT</t>
  </si>
  <si>
    <t>DOC6</t>
  </si>
  <si>
    <t>OBSTETRICS AND GYNECOLOGY</t>
  </si>
  <si>
    <t>DOC7</t>
  </si>
  <si>
    <t>ORTHOPEDIC SURGERY</t>
  </si>
  <si>
    <t>DOC8</t>
  </si>
  <si>
    <t>DOC9</t>
  </si>
  <si>
    <t>PEDIATRIC DENTISTRY</t>
  </si>
  <si>
    <t>DOC10</t>
  </si>
  <si>
    <t>DOC11</t>
  </si>
  <si>
    <t>DOC12</t>
  </si>
  <si>
    <t>SPEECH THERAPIST</t>
  </si>
  <si>
    <t>DOC13</t>
  </si>
  <si>
    <t>PHYSIOTHERAPY</t>
  </si>
  <si>
    <t>DOC14</t>
  </si>
  <si>
    <t>DOC15</t>
  </si>
  <si>
    <t>REHABILITATION</t>
  </si>
  <si>
    <t>DOC16</t>
  </si>
  <si>
    <t>DOC17</t>
  </si>
  <si>
    <t>GENERAL PRACTITIONER</t>
  </si>
  <si>
    <t>DOC18</t>
  </si>
  <si>
    <t>DOC19</t>
  </si>
  <si>
    <t>DOC20</t>
  </si>
  <si>
    <t>DOC21</t>
  </si>
  <si>
    <t>DOC22</t>
  </si>
  <si>
    <t>DOC23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</si>
</sst>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5F3BC-1F34-4ED0-9181-0AD0FD81702A}" name="Table115" displayName="Table115" ref="A1:I4" totalsRowShown="0">
  <tableColumns count="9">
    <tableColumn id="1" xr3:uid="{B822EDE5-1BBD-4B3D-8CAB-3766E690E74D}" name="INSURANCE"/>
    <tableColumn id="2" xr3:uid="{A44010E8-8F0B-49D6-BC95-5BA378C51161}" name="CLAIM COUNT"/>
    <tableColumn id="3" xr3:uid="{C8F73E84-CC2C-4640-B4BA-92E2B3C837E1}" name="NET AMOUNT"/>
    <tableColumn id="4" xr3:uid="{F5DB3623-30AD-4A31-B2E2-B65F0EBB5034}" name="DEDUCTABLE"/>
    <tableColumn id="5" xr3:uid="{7E469133-6904-47CF-8C3C-2E221DEF7F7D}" name="SUBMITTED AMOUNT"/>
    <tableColumn id="6" xr3:uid="{88CD1D24-03A8-4ACE-BFA1-E29715748191}" name="CONSULTATION"/>
    <tableColumn id="7" xr3:uid="{5386DDC7-44C6-4B58-94CB-91DC60CDC3CB}" name="PROCEDURE"/>
    <tableColumn id="8" xr3:uid="{ABEB1041-B249-4FC4-8150-47EEE0C231C8}" name="LAB"/>
    <tableColumn id="9" xr3:uid="{3C539F4D-433E-41E8-990E-EF5CA89500D0}" name="PATIENT AVG">
      <calculatedColumnFormula>Table115[[#This Row],[SUBMITTED AMOUNT]]/Table115[[#This Row],[CLAIM COUNT]]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84C4C-97C6-4A99-A860-3578F6C408B1}" name="Table126" displayName="Table126" ref="A8:I31" totalsRowShown="0">
  <tableColumns count="9">
    <tableColumn id="1" xr3:uid="{5AE64349-7A80-4798-8F46-2CADD40F58A3}" name="DATE"/>
    <tableColumn id="2" xr3:uid="{AF427E7A-C322-4660-A908-3015BB35ADB7}" name="DEPARTMENT"/>
    <tableColumn id="3" xr3:uid="{AAC0C749-846B-4EEA-ABFF-79B3E5221F2E}" name="DOCTOR"/>
    <tableColumn id="4" xr3:uid="{5EEFE956-BA65-48BC-9D69-153424CB90BA}" name="CONSULTATION"/>
    <tableColumn id="5" xr3:uid="{3FFA11F3-5AA6-4F64-BB93-EF9BF8C58024}" name="PROCEDURE"/>
    <tableColumn id="6" xr3:uid="{E829990F-04D1-467E-B5A1-C4F84405661D}" name="LAB"/>
    <tableColumn id="7" xr3:uid="{6DC7AFF3-AC67-4130-B23D-7381DBAD4E2F}" name="TOTAL VISIT"/>
    <tableColumn id="8" xr3:uid="{FB09FFEB-8E74-4595-B19E-F8A09B5CDEC9}" name="TOTAL AMOUNT">
      <calculatedColumnFormula>SUM(D9:F9)</calculatedColumnFormula>
    </tableColumn>
    <tableColumn id="9" xr3:uid="{9B93CCAD-820D-44D7-BA23-ACFF6EE0E85D}" name="PATIENT AVG">
      <calculatedColumnFormula>H9/G9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B080-6CDF-4360-B752-77893ECA73EA}">
  <dimension ref="A1:N31"/>
  <sheetViews>
    <sheetView tabSelected="1" workbookViewId="0">
      <selection activeCell="X17" sqref="X17"/>
    </sheetView>
  </sheetViews>
  <sheetFormatPr defaultRowHeight="15" x14ac:dyDescent="0.25"/>
  <cols>
    <col min="12" max="12" width="16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7</v>
      </c>
    </row>
    <row r="2" spans="1:14" x14ac:dyDescent="0.25">
      <c r="A2" t="s">
        <v>9</v>
      </c>
      <c r="B2">
        <v>2914</v>
      </c>
      <c r="C2">
        <v>810346.67197000259</v>
      </c>
      <c r="D2">
        <v>0</v>
      </c>
      <c r="E2">
        <v>810346.67197000259</v>
      </c>
      <c r="F2">
        <v>159671.00000000183</v>
      </c>
      <c r="G2">
        <v>611991.08197001193</v>
      </c>
      <c r="H2">
        <v>38684.589999999997</v>
      </c>
      <c r="I2">
        <f>Table115[[#This Row],[SUBMITTED AMOUNT]]/Table115[[#This Row],[CLAIM COUNT]]</f>
        <v>278.08739600892335</v>
      </c>
    </row>
    <row r="3" spans="1:14" x14ac:dyDescent="0.25">
      <c r="A3" t="s">
        <v>10</v>
      </c>
      <c r="B3">
        <v>445</v>
      </c>
      <c r="C3">
        <v>76103.059499999828</v>
      </c>
      <c r="D3">
        <v>7062.5500000000484</v>
      </c>
      <c r="E3">
        <v>69040.509500000015</v>
      </c>
      <c r="F3">
        <v>17769</v>
      </c>
      <c r="G3">
        <v>39255.109499999948</v>
      </c>
      <c r="H3">
        <v>12016.399999999989</v>
      </c>
      <c r="I3">
        <f>Table115[[#This Row],[SUBMITTED AMOUNT]]/Table115[[#This Row],[CLAIM COUNT]]</f>
        <v>155.14721235955059</v>
      </c>
      <c r="L3" t="s">
        <v>11</v>
      </c>
      <c r="M3" t="s">
        <v>12</v>
      </c>
      <c r="N3" t="s">
        <v>4</v>
      </c>
    </row>
    <row r="4" spans="1:14" x14ac:dyDescent="0.25">
      <c r="A4" t="s">
        <v>13</v>
      </c>
      <c r="B4">
        <f>SUBTOTAL(109,B2:B3)</f>
        <v>3359</v>
      </c>
      <c r="C4">
        <f>SUBTOTAL(109,C2:C3)</f>
        <v>886449.73147000244</v>
      </c>
      <c r="D4">
        <f t="shared" ref="D4:H4" si="0">SUBTOTAL(109,D2:D3)</f>
        <v>7062.5500000000484</v>
      </c>
      <c r="E4">
        <f t="shared" si="0"/>
        <v>879387.18147000263</v>
      </c>
      <c r="F4">
        <f t="shared" si="0"/>
        <v>177440.00000000183</v>
      </c>
      <c r="G4">
        <f t="shared" si="0"/>
        <v>651246.19147001184</v>
      </c>
      <c r="H4">
        <f t="shared" si="0"/>
        <v>50700.989999999983</v>
      </c>
      <c r="I4">
        <f>Table115[[#This Row],[SUBMITTED AMOUNT]]/Table115[[#This Row],[CLAIM COUNT]]</f>
        <v>261.80029219112907</v>
      </c>
      <c r="L4" t="s">
        <v>14</v>
      </c>
      <c r="M4">
        <v>278</v>
      </c>
      <c r="N4">
        <v>38684.589999999997</v>
      </c>
    </row>
    <row r="5" spans="1:14" x14ac:dyDescent="0.25">
      <c r="A5" t="s">
        <v>15</v>
      </c>
      <c r="B5">
        <v>211</v>
      </c>
      <c r="C5">
        <v>27978.014999999999</v>
      </c>
      <c r="D5">
        <v>0</v>
      </c>
      <c r="E5">
        <f>C5</f>
        <v>27978.014999999999</v>
      </c>
      <c r="F5">
        <v>0</v>
      </c>
      <c r="G5">
        <v>0</v>
      </c>
      <c r="H5">
        <v>0</v>
      </c>
      <c r="I5">
        <f>C5/B5</f>
        <v>132.59722748815165</v>
      </c>
      <c r="L5" t="s">
        <v>16</v>
      </c>
      <c r="M5">
        <v>105</v>
      </c>
      <c r="N5">
        <v>12016.399999999989</v>
      </c>
    </row>
    <row r="6" spans="1:14" x14ac:dyDescent="0.25">
      <c r="L6" t="s">
        <v>13</v>
      </c>
      <c r="M6">
        <v>383</v>
      </c>
      <c r="N6">
        <v>50700.989999999983</v>
      </c>
    </row>
    <row r="7" spans="1:14" x14ac:dyDescent="0.25">
      <c r="A7" t="s">
        <v>17</v>
      </c>
    </row>
    <row r="8" spans="1:14" x14ac:dyDescent="0.25">
      <c r="A8" t="s">
        <v>18</v>
      </c>
      <c r="B8" t="s">
        <v>19</v>
      </c>
      <c r="C8" t="s">
        <v>20</v>
      </c>
      <c r="D8" t="s">
        <v>5</v>
      </c>
      <c r="E8" t="s">
        <v>6</v>
      </c>
      <c r="F8" t="s">
        <v>7</v>
      </c>
      <c r="G8" t="s">
        <v>21</v>
      </c>
      <c r="H8" t="s">
        <v>22</v>
      </c>
      <c r="I8" t="s">
        <v>8</v>
      </c>
    </row>
    <row r="9" spans="1:14" x14ac:dyDescent="0.25">
      <c r="A9" t="s">
        <v>23</v>
      </c>
      <c r="B9" t="s">
        <v>24</v>
      </c>
      <c r="C9" t="s">
        <v>25</v>
      </c>
      <c r="D9">
        <v>0</v>
      </c>
      <c r="E9">
        <v>40329.900000000045</v>
      </c>
      <c r="F9">
        <v>0</v>
      </c>
      <c r="G9">
        <v>105</v>
      </c>
      <c r="H9">
        <f>SUM(D9:F9)</f>
        <v>40329.900000000045</v>
      </c>
      <c r="I9">
        <f>H9/G9</f>
        <v>384.09428571428612</v>
      </c>
    </row>
    <row r="10" spans="1:14" x14ac:dyDescent="0.25">
      <c r="A10" t="s">
        <v>23</v>
      </c>
      <c r="B10" t="s">
        <v>26</v>
      </c>
      <c r="C10" t="s">
        <v>27</v>
      </c>
      <c r="D10">
        <v>0</v>
      </c>
      <c r="E10">
        <v>21245.920000000024</v>
      </c>
      <c r="F10">
        <v>0</v>
      </c>
      <c r="G10">
        <v>97</v>
      </c>
      <c r="H10">
        <f t="shared" ref="H10:H13" si="1">SUM(D10:F10)</f>
        <v>21245.920000000024</v>
      </c>
      <c r="I10">
        <f t="shared" ref="I10:I13" si="2">H10/G10</f>
        <v>219.03010309278375</v>
      </c>
    </row>
    <row r="11" spans="1:14" x14ac:dyDescent="0.25">
      <c r="A11" t="s">
        <v>23</v>
      </c>
      <c r="B11" t="s">
        <v>28</v>
      </c>
      <c r="C11" t="s">
        <v>29</v>
      </c>
      <c r="D11">
        <v>21331.300000000032</v>
      </c>
      <c r="E11">
        <v>59829.427699999964</v>
      </c>
      <c r="F11">
        <v>1603.29</v>
      </c>
      <c r="G11">
        <v>133</v>
      </c>
      <c r="H11">
        <f>SUM(D11:F11)</f>
        <v>82764.017699999982</v>
      </c>
      <c r="I11">
        <f>H11/G11</f>
        <v>622.28584736842095</v>
      </c>
    </row>
    <row r="12" spans="1:14" x14ac:dyDescent="0.25">
      <c r="A12" t="s">
        <v>23</v>
      </c>
      <c r="B12" t="s">
        <v>30</v>
      </c>
      <c r="C12" t="s">
        <v>31</v>
      </c>
      <c r="D12">
        <v>0</v>
      </c>
      <c r="E12">
        <v>1580.0799999999997</v>
      </c>
      <c r="F12">
        <v>0</v>
      </c>
      <c r="G12">
        <v>7</v>
      </c>
      <c r="H12">
        <f t="shared" si="1"/>
        <v>1580.0799999999997</v>
      </c>
      <c r="I12">
        <f t="shared" si="2"/>
        <v>225.72571428571425</v>
      </c>
    </row>
    <row r="13" spans="1:14" x14ac:dyDescent="0.25">
      <c r="A13" t="s">
        <v>23</v>
      </c>
      <c r="B13" t="s">
        <v>32</v>
      </c>
      <c r="C13" t="s">
        <v>33</v>
      </c>
      <c r="D13">
        <v>0</v>
      </c>
      <c r="E13">
        <v>8253.1800000000094</v>
      </c>
      <c r="F13">
        <v>0</v>
      </c>
      <c r="G13">
        <v>51</v>
      </c>
      <c r="H13">
        <f t="shared" si="1"/>
        <v>8253.1800000000094</v>
      </c>
      <c r="I13">
        <f t="shared" si="2"/>
        <v>161.8270588235296</v>
      </c>
    </row>
    <row r="14" spans="1:14" x14ac:dyDescent="0.25">
      <c r="A14" t="s">
        <v>23</v>
      </c>
      <c r="B14" t="s">
        <v>34</v>
      </c>
      <c r="C14" t="s">
        <v>35</v>
      </c>
      <c r="D14">
        <v>33298.249999999833</v>
      </c>
      <c r="E14">
        <v>43796.16110000015</v>
      </c>
      <c r="F14">
        <v>14427.400000000003</v>
      </c>
      <c r="G14">
        <v>481</v>
      </c>
      <c r="H14">
        <f>SUM(D14:F14)</f>
        <v>91521.811099999992</v>
      </c>
      <c r="I14">
        <f>H14/G14</f>
        <v>190.27403555093554</v>
      </c>
    </row>
    <row r="15" spans="1:14" x14ac:dyDescent="0.25">
      <c r="A15" t="s">
        <v>23</v>
      </c>
      <c r="B15" t="s">
        <v>36</v>
      </c>
      <c r="C15" t="s">
        <v>37</v>
      </c>
      <c r="D15">
        <v>11569.375000000007</v>
      </c>
      <c r="E15">
        <v>7228.388399999998</v>
      </c>
      <c r="F15">
        <v>15982.9</v>
      </c>
      <c r="G15">
        <v>76</v>
      </c>
      <c r="H15">
        <f t="shared" ref="H15:H19" si="3">SUM(D15:F15)</f>
        <v>34780.663400000005</v>
      </c>
      <c r="I15">
        <f t="shared" ref="I15:I19" si="4">H15/G15</f>
        <v>457.64030789473691</v>
      </c>
    </row>
    <row r="16" spans="1:14" x14ac:dyDescent="0.25">
      <c r="A16" t="s">
        <v>23</v>
      </c>
      <c r="B16" t="s">
        <v>38</v>
      </c>
      <c r="C16" t="s">
        <v>39</v>
      </c>
      <c r="D16">
        <v>46229.024999999958</v>
      </c>
      <c r="E16">
        <v>5500.6395999999932</v>
      </c>
      <c r="F16">
        <v>612.59999999999991</v>
      </c>
      <c r="G16">
        <v>383</v>
      </c>
      <c r="H16">
        <f t="shared" si="3"/>
        <v>52342.264599999951</v>
      </c>
      <c r="I16">
        <f t="shared" si="4"/>
        <v>136.66387624020874</v>
      </c>
    </row>
    <row r="17" spans="1:9" x14ac:dyDescent="0.25">
      <c r="A17" t="s">
        <v>23</v>
      </c>
      <c r="B17" t="s">
        <v>34</v>
      </c>
      <c r="C17" t="s">
        <v>40</v>
      </c>
      <c r="D17">
        <v>13449.300000000012</v>
      </c>
      <c r="E17">
        <v>14194.321200000009</v>
      </c>
      <c r="F17">
        <v>2692.6000000000008</v>
      </c>
      <c r="G17">
        <v>187</v>
      </c>
      <c r="H17">
        <f t="shared" si="3"/>
        <v>30336.221200000025</v>
      </c>
      <c r="I17">
        <f t="shared" si="4"/>
        <v>162.22578181818196</v>
      </c>
    </row>
    <row r="18" spans="1:9" x14ac:dyDescent="0.25">
      <c r="A18" t="s">
        <v>23</v>
      </c>
      <c r="B18" t="s">
        <v>41</v>
      </c>
      <c r="C18" t="s">
        <v>42</v>
      </c>
      <c r="D18">
        <v>0</v>
      </c>
      <c r="E18">
        <v>80726.100000000006</v>
      </c>
      <c r="F18">
        <v>0</v>
      </c>
      <c r="G18">
        <v>126</v>
      </c>
      <c r="H18">
        <f t="shared" si="3"/>
        <v>80726.100000000006</v>
      </c>
      <c r="I18">
        <f t="shared" si="4"/>
        <v>640.68333333333339</v>
      </c>
    </row>
    <row r="19" spans="1:9" x14ac:dyDescent="0.25">
      <c r="A19" t="s">
        <v>23</v>
      </c>
      <c r="B19" t="s">
        <v>24</v>
      </c>
      <c r="C19" t="s">
        <v>43</v>
      </c>
      <c r="D19">
        <v>0</v>
      </c>
      <c r="E19">
        <v>36847.962000000007</v>
      </c>
      <c r="F19">
        <v>0</v>
      </c>
      <c r="G19">
        <v>94</v>
      </c>
      <c r="H19">
        <f t="shared" si="3"/>
        <v>36847.962000000007</v>
      </c>
      <c r="I19">
        <f t="shared" si="4"/>
        <v>391.9995957446809</v>
      </c>
    </row>
    <row r="20" spans="1:9" x14ac:dyDescent="0.25">
      <c r="A20" t="s">
        <v>23</v>
      </c>
      <c r="B20" t="s">
        <v>24</v>
      </c>
      <c r="C20" t="s">
        <v>44</v>
      </c>
      <c r="D20">
        <v>0</v>
      </c>
      <c r="E20">
        <v>38350.242000000035</v>
      </c>
      <c r="F20">
        <v>0</v>
      </c>
      <c r="G20">
        <v>115</v>
      </c>
      <c r="H20">
        <f>SUM(D20:F20)</f>
        <v>38350.242000000035</v>
      </c>
      <c r="I20">
        <f>H20/G20</f>
        <v>333.48036521739158</v>
      </c>
    </row>
    <row r="21" spans="1:9" x14ac:dyDescent="0.25">
      <c r="A21" t="s">
        <v>23</v>
      </c>
      <c r="B21" t="s">
        <v>45</v>
      </c>
      <c r="C21" t="s">
        <v>46</v>
      </c>
      <c r="D21">
        <v>0</v>
      </c>
      <c r="E21">
        <v>1226.1600000000001</v>
      </c>
      <c r="F21">
        <v>0</v>
      </c>
      <c r="G21">
        <v>8</v>
      </c>
      <c r="H21">
        <f t="shared" ref="H21:H30" si="5">SUM(D21:F21)</f>
        <v>1226.1600000000001</v>
      </c>
      <c r="I21">
        <f t="shared" ref="I21:I30" si="6">H21/G21</f>
        <v>153.27000000000001</v>
      </c>
    </row>
    <row r="22" spans="1:9" x14ac:dyDescent="0.25">
      <c r="A22" t="s">
        <v>23</v>
      </c>
      <c r="B22" t="s">
        <v>47</v>
      </c>
      <c r="C22" t="s">
        <v>48</v>
      </c>
      <c r="D22">
        <v>0</v>
      </c>
      <c r="E22">
        <v>29686.480000000087</v>
      </c>
      <c r="F22">
        <v>0</v>
      </c>
      <c r="G22">
        <v>134</v>
      </c>
      <c r="H22">
        <f t="shared" si="5"/>
        <v>29686.480000000087</v>
      </c>
      <c r="I22">
        <f t="shared" si="6"/>
        <v>221.54089552238869</v>
      </c>
    </row>
    <row r="23" spans="1:9" x14ac:dyDescent="0.25">
      <c r="A23" t="s">
        <v>23</v>
      </c>
      <c r="B23" t="s">
        <v>47</v>
      </c>
      <c r="C23" t="s">
        <v>49</v>
      </c>
      <c r="D23">
        <v>0</v>
      </c>
      <c r="E23">
        <v>26654.04000000003</v>
      </c>
      <c r="F23">
        <v>0</v>
      </c>
      <c r="G23">
        <v>119</v>
      </c>
      <c r="H23">
        <f t="shared" si="5"/>
        <v>26654.04000000003</v>
      </c>
      <c r="I23">
        <f t="shared" si="6"/>
        <v>223.98352941176495</v>
      </c>
    </row>
    <row r="24" spans="1:9" x14ac:dyDescent="0.25">
      <c r="A24" t="s">
        <v>23</v>
      </c>
      <c r="B24" t="s">
        <v>50</v>
      </c>
      <c r="C24" t="s">
        <v>51</v>
      </c>
      <c r="D24">
        <v>0</v>
      </c>
      <c r="E24">
        <v>1862.88</v>
      </c>
      <c r="F24">
        <v>0</v>
      </c>
      <c r="G24">
        <v>5</v>
      </c>
      <c r="H24">
        <f t="shared" si="5"/>
        <v>1862.88</v>
      </c>
      <c r="I24">
        <f t="shared" si="6"/>
        <v>372.57600000000002</v>
      </c>
    </row>
    <row r="25" spans="1:9" x14ac:dyDescent="0.25">
      <c r="A25" t="s">
        <v>23</v>
      </c>
      <c r="B25" t="s">
        <v>24</v>
      </c>
      <c r="C25" t="s">
        <v>52</v>
      </c>
      <c r="D25">
        <v>0</v>
      </c>
      <c r="E25">
        <v>34363.439999999981</v>
      </c>
      <c r="F25">
        <v>0</v>
      </c>
      <c r="G25">
        <v>90</v>
      </c>
      <c r="H25">
        <f t="shared" si="5"/>
        <v>34363.439999999981</v>
      </c>
      <c r="I25">
        <f t="shared" si="6"/>
        <v>381.8159999999998</v>
      </c>
    </row>
    <row r="26" spans="1:9" x14ac:dyDescent="0.25">
      <c r="A26" t="s">
        <v>23</v>
      </c>
      <c r="B26" t="s">
        <v>53</v>
      </c>
      <c r="C26" t="s">
        <v>54</v>
      </c>
      <c r="D26">
        <v>51562.749999999891</v>
      </c>
      <c r="E26">
        <v>77907.772269999972</v>
      </c>
      <c r="F26">
        <v>15382.199999999995</v>
      </c>
      <c r="G26">
        <v>739</v>
      </c>
      <c r="H26">
        <f t="shared" si="5"/>
        <v>144852.72226999985</v>
      </c>
      <c r="I26">
        <f t="shared" si="6"/>
        <v>196.01180280108235</v>
      </c>
    </row>
    <row r="27" spans="1:9" x14ac:dyDescent="0.25">
      <c r="A27" t="s">
        <v>23</v>
      </c>
      <c r="B27" t="s">
        <v>24</v>
      </c>
      <c r="C27" t="s">
        <v>55</v>
      </c>
      <c r="D27">
        <v>0</v>
      </c>
      <c r="E27">
        <v>38865.084000000032</v>
      </c>
      <c r="F27">
        <v>0</v>
      </c>
      <c r="G27">
        <v>101</v>
      </c>
      <c r="H27">
        <f t="shared" si="5"/>
        <v>38865.084000000032</v>
      </c>
      <c r="I27">
        <f t="shared" si="6"/>
        <v>384.8028118811884</v>
      </c>
    </row>
    <row r="28" spans="1:9" x14ac:dyDescent="0.25">
      <c r="A28" t="s">
        <v>23</v>
      </c>
      <c r="B28" t="s">
        <v>47</v>
      </c>
      <c r="C28" t="s">
        <v>56</v>
      </c>
      <c r="D28">
        <v>0</v>
      </c>
      <c r="E28">
        <v>25093.353200000038</v>
      </c>
      <c r="F28">
        <v>0</v>
      </c>
      <c r="G28">
        <v>119</v>
      </c>
      <c r="H28">
        <f t="shared" si="5"/>
        <v>25093.353200000038</v>
      </c>
      <c r="I28">
        <f t="shared" si="6"/>
        <v>210.86851428571461</v>
      </c>
    </row>
    <row r="29" spans="1:9" x14ac:dyDescent="0.25">
      <c r="A29" t="s">
        <v>23</v>
      </c>
      <c r="B29" t="s">
        <v>50</v>
      </c>
      <c r="C29" t="s">
        <v>57</v>
      </c>
      <c r="D29">
        <v>0</v>
      </c>
      <c r="E29">
        <v>2758.86</v>
      </c>
      <c r="F29">
        <v>0</v>
      </c>
      <c r="G29">
        <v>18</v>
      </c>
      <c r="H29">
        <f t="shared" si="5"/>
        <v>2758.86</v>
      </c>
      <c r="I29">
        <f t="shared" si="6"/>
        <v>153.27000000000001</v>
      </c>
    </row>
    <row r="30" spans="1:9" x14ac:dyDescent="0.25">
      <c r="A30" t="s">
        <v>23</v>
      </c>
      <c r="B30" t="s">
        <v>47</v>
      </c>
      <c r="C30" t="s">
        <v>58</v>
      </c>
      <c r="D30">
        <v>0</v>
      </c>
      <c r="E30">
        <v>13433.6</v>
      </c>
      <c r="F30">
        <v>0</v>
      </c>
      <c r="G30">
        <v>64</v>
      </c>
      <c r="H30">
        <f t="shared" si="5"/>
        <v>13433.6</v>
      </c>
      <c r="I30">
        <f t="shared" si="6"/>
        <v>209.9</v>
      </c>
    </row>
    <row r="31" spans="1:9" x14ac:dyDescent="0.25">
      <c r="A31" t="s">
        <v>23</v>
      </c>
      <c r="B31" t="s">
        <v>24</v>
      </c>
      <c r="C31" t="s">
        <v>59</v>
      </c>
      <c r="D31">
        <v>0</v>
      </c>
      <c r="E31">
        <v>41512.200000000048</v>
      </c>
      <c r="F31">
        <v>0</v>
      </c>
      <c r="G31">
        <v>107</v>
      </c>
      <c r="H31">
        <f>SUM(D31:F31)</f>
        <v>41512.200000000048</v>
      </c>
      <c r="I31">
        <f>H31/G31</f>
        <v>387.96448598130888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2026-09-02T11:17:41Z</dcterms:created>
  <dcterms:modified xsi:type="dcterms:W3CDTF">2026-09-02T11:53:50Z</dcterms:modified>
</cp:coreProperties>
</file>